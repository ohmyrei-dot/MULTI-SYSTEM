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8_{BD24630B-2E6F-4199-8247-E9D039AE4E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  <sheet name="지급계획" sheetId="2" r:id="rId2"/>
  </sheets>
  <externalReferences>
    <externalReference r:id="rId3"/>
    <externalReference r:id="rId4"/>
  </externalReferences>
  <definedNames>
    <definedName name="_xlnm._FilterDatabase" localSheetId="0" hidden="1">'입출금장부(요약)'!$A$1:$D$64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I13" i="2" l="1"/>
  <c r="I14" i="2" s="1"/>
  <c r="F13" i="2"/>
  <c r="C64" i="1" l="1"/>
  <c r="C72" i="1"/>
</calcChain>
</file>

<file path=xl/sharedStrings.xml><?xml version="1.0" encoding="utf-8"?>
<sst xmlns="http://schemas.openxmlformats.org/spreadsheetml/2006/main" count="80" uniqueCount="78">
  <si>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</si>
  <si>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</si>
  <si>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</si>
  <si>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</si>
  <si>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</si>
  <si>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</si>
  <si>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</si>
  <si>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</si>
  <si>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</si>
  <si>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</si>
  <si>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</si>
  <si>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</si>
  <si>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</si>
  <si>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</si>
  <si>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</si>
  <si>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</si>
  <si>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</si>
  <si>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</si>
  <si>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세이프탑2508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</si>
  <si>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</si>
  <si>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</si>
  <si>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</si>
  <si>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</si>
  <si>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</si>
  <si>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</si>
  <si>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</si>
  <si>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</si>
  <si>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</si>
  <si>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지급 계획</t>
    <phoneticPr fontId="2" type="noConversion"/>
  </si>
  <si>
    <t>잔금</t>
    <phoneticPr fontId="2" type="noConversion"/>
  </si>
  <si>
    <t>입금</t>
    <phoneticPr fontId="2" type="noConversion"/>
  </si>
  <si>
    <t>합계</t>
    <phoneticPr fontId="2" type="noConversion"/>
  </si>
  <si>
    <t>급여</t>
    <phoneticPr fontId="2" type="noConversion"/>
  </si>
  <si>
    <t>결제</t>
    <phoneticPr fontId="2" type="noConversion"/>
  </si>
  <si>
    <t>가온건설2512</t>
    <phoneticPr fontId="2" type="noConversion"/>
  </si>
  <si>
    <t>우주안전2512</t>
    <phoneticPr fontId="2" type="noConversion"/>
  </si>
  <si>
    <t>태양산자2511</t>
    <phoneticPr fontId="2" type="noConversion"/>
  </si>
  <si>
    <t>진성텍스2511</t>
    <phoneticPr fontId="2" type="noConversion"/>
  </si>
  <si>
    <t>경진코리아2509</t>
    <phoneticPr fontId="2" type="noConversion"/>
  </si>
  <si>
    <t>경진코리아2601</t>
    <phoneticPr fontId="2" type="noConversion"/>
  </si>
  <si>
    <t>세이프탑2601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</si>
  <si>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</si>
  <si>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</si>
  <si>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</si>
  <si>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</si>
  <si>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</si>
  <si>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세이프탑2602</t>
    <phoneticPr fontId="2" type="noConversion"/>
  </si>
  <si>
    <t>400추가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</si>
  <si>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</si>
  <si>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</si>
  <si>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</si>
  <si>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</si>
  <si>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</si>
  <si>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</si>
  <si>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</si>
  <si>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</si>
  <si>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</si>
  <si>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</si>
  <si>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</si>
  <si>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</si>
  <si>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</si>
  <si>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</si>
  <si>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</si>
  <si>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</si>
  <si>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진성텍스2604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</si>
  <si>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</si>
  <si>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</si>
  <si>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</si>
  <si>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</si>
  <si>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</si>
  <si>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누리산업안전2604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</si>
  <si>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</si>
  <si>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</si>
  <si>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엘에스세이프2604</t>
    <phoneticPr fontId="2" type="noConversion"/>
  </si>
  <si>
    <t>세종스틸2604</t>
    <phoneticPr fontId="2" type="noConversion"/>
  </si>
  <si>
    <t>마루이엔씨2604</t>
    <phoneticPr fontId="2" type="noConversion"/>
  </si>
  <si>
    <t>전진산업안전2604</t>
    <phoneticPr fontId="2" type="noConversion"/>
  </si>
  <si>
    <t>2026.05.29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</si>
</sst>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6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 style="thin">
        <color theme="4" tint="0.79995117038483843"/>
      </right>
      <top style="thin">
        <color theme="4" tint="0.79995117038483843"/>
      </top>
      <bottom style="thin">
        <color theme="4" tint="0.79995117038483843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6" fontId="0" fillId="4" borderId="5" xfId="0" applyNumberFormat="1" applyFill="1" applyBorder="1">
      <alignment vertical="center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3" fillId="0" borderId="1" xfId="0" applyFont="1" applyBorder="1">
      <alignment vertical="center"/>
    </xf>
    <xf numFmtId="6" fontId="3" fillId="0" borderId="1" xfId="0" applyNumberFormat="1" applyFont="1" applyBorder="1">
      <alignment vertical="center"/>
    </xf>
    <xf numFmtId="6" fontId="4" fillId="0" borderId="6" xfId="0" applyNumberFormat="1" applyFont="1" applyBorder="1">
      <alignment vertical="center"/>
    </xf>
    <xf numFmtId="6" fontId="4" fillId="3" borderId="6" xfId="0" applyNumberFormat="1" applyFont="1" applyFill="1" applyBorder="1">
      <alignment vertical="center"/>
    </xf>
    <xf numFmtId="6" fontId="5" fillId="0" borderId="6" xfId="0" applyNumberFormat="1" applyFont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6" fontId="3" fillId="6" borderId="1" xfId="0" applyNumberFormat="1" applyFont="1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8" borderId="4" xfId="0" applyFill="1" applyBorder="1" applyAlignment="1">
      <alignment horizontal="center" vertical="center" wrapText="1"/>
    </xf>
    <xf numFmtId="6" fontId="0" fillId="8" borderId="5" xfId="0" applyNumberFormat="1" applyFill="1" applyBorder="1">
      <alignment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&#47928;&#49436;/&#52852;&#52852;&#50724;&#53665;%20&#48155;&#51008;%20&#54028;&#51068;/!!!!!!!%20260529%20&#49437;&#48120;&#49688;&#44552;&#54364;.xlsm" TargetMode="External"/><Relationship Id="rId1" Type="http://schemas.openxmlformats.org/officeDocument/2006/relationships/externalLinkPath" Target="/Users/ohmyr/OneDrive/&#47928;&#49436;/&#52852;&#52852;&#50724;&#53665;%20&#48155;&#51008;%20&#54028;&#51068;/!!!!!!!%20260529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세이프탑"/>
      <sheetName val="엘케이유통(세금계산서)"/>
      <sheetName val="고려씨에스(세금계산서)"/>
      <sheetName val="Sheet2"/>
      <sheetName val="Sheet3"/>
    </sheetNames>
    <sheetDataSet>
      <sheetData sheetId="0" refreshError="1"/>
      <sheetData sheetId="1">
        <row r="3">
          <cell r="A3" t="str">
            <v>업체구분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6"/>
  <sheetViews>
    <sheetView tabSelected="1" zoomScale="85" zoomScaleNormal="85" workbookViewId="0">
      <selection activeCell="H12" sqref="H12"/>
    </sheetView>
  </sheetViews>
  <sheetFormatPr defaultRowHeight="16.5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>
      <c r="A1" s="1" t="s">
        <v>0</v>
      </c>
      <c r="B1" s="2"/>
      <c r="C1" s="2"/>
    </row>
    <row r="2" spans="1:4">
      <c r="C2" s="3" t="s">
        <v>77</v>
      </c>
    </row>
    <row r="3" spans="1:4">
      <c r="A3" s="6" t="s">
        <v>1</v>
      </c>
      <c r="B3" s="6" t="s">
        <v>2</v>
      </c>
      <c r="C3" s="6" t="s">
        <v>3</v>
      </c>
    </row>
    <row r="4" spans="1:4">
      <c r="A4" s="26"/>
      <c r="B4" s="7" t="s">
        <v>39</v>
      </c>
      <c r="C4" s="4">
        <v>40000000</v>
      </c>
    </row>
    <row r="5" spans="1:4">
      <c r="A5" s="26"/>
      <c r="B5" s="7" t="s">
        <v>45</v>
      </c>
      <c r="C5" s="4">
        <v>55591965</v>
      </c>
    </row>
    <row r="6" spans="1:4">
      <c r="A6" s="26"/>
      <c r="B6" s="7" t="s">
        <v>51</v>
      </c>
      <c r="C6" s="4">
        <v>51551170</v>
      </c>
    </row>
    <row r="7" spans="1:4">
      <c r="A7" s="26"/>
      <c r="B7" s="7" t="s">
        <v>61</v>
      </c>
      <c r="C7" s="4">
        <v>72163080</v>
      </c>
    </row>
    <row r="8" spans="1:4">
      <c r="A8" s="26"/>
      <c r="B8" s="7" t="s">
        <v>52</v>
      </c>
      <c r="C8" s="4">
        <v>42975257</v>
      </c>
    </row>
    <row r="9" spans="1:4">
      <c r="A9" s="26"/>
      <c r="B9" s="7" t="s">
        <v>62</v>
      </c>
      <c r="C9" s="4">
        <v>41916160</v>
      </c>
    </row>
    <row r="10" spans="1:4">
      <c r="A10" s="26"/>
      <c r="B10" s="7" t="s">
        <v>40</v>
      </c>
      <c r="C10" s="4">
        <v>11901911</v>
      </c>
    </row>
    <row r="11" spans="1:4">
      <c r="A11" s="26"/>
      <c r="B11" s="7" t="s">
        <v>46</v>
      </c>
      <c r="C11" s="4">
        <v>16718189</v>
      </c>
    </row>
    <row r="12" spans="1:4">
      <c r="A12" s="26"/>
      <c r="B12" s="7" t="s">
        <v>53</v>
      </c>
      <c r="C12" s="4">
        <v>36000414</v>
      </c>
    </row>
    <row r="13" spans="1:4">
      <c r="A13" s="26"/>
      <c r="B13" s="7" t="s">
        <v>63</v>
      </c>
      <c r="C13" s="4">
        <v>2112206</v>
      </c>
    </row>
    <row r="14" spans="1:4">
      <c r="A14" s="26"/>
      <c r="B14" s="7" t="s">
        <v>64</v>
      </c>
      <c r="C14" s="4">
        <v>23740668</v>
      </c>
    </row>
    <row r="15" spans="1:4">
      <c r="A15" s="31" t="s">
        <v>4</v>
      </c>
      <c r="B15" s="32"/>
      <c r="C15" s="5">
        <f>SUM(C4:C14)</f>
        <v>394671020</v>
      </c>
    </row>
    <row r="16" spans="1:4" ht="18" customHeight="1">
      <c r="A16" s="33"/>
      <c r="B16" s="27" t="s">
        <v>54</v>
      </c>
      <c r="C16" s="28">
        <v>47583305</v>
      </c>
      <c r="D16" t="s">
        <v>47</v>
      </c>
    </row>
    <row r="17" spans="1:4" ht="18" customHeight="1">
      <c r="A17" s="33"/>
      <c r="B17" s="27" t="s">
        <v>65</v>
      </c>
      <c r="C17" s="28">
        <v>92007960</v>
      </c>
      <c r="D17" t="s">
        <v>66</v>
      </c>
    </row>
    <row r="18" spans="1:4">
      <c r="A18" s="33"/>
      <c r="B18" s="27" t="s">
        <v>55</v>
      </c>
      <c r="C18" s="28">
        <v>26599650</v>
      </c>
    </row>
    <row r="19" spans="1:4">
      <c r="A19" s="33"/>
      <c r="B19" s="27" t="s">
        <v>67</v>
      </c>
      <c r="C19" s="28">
        <v>30248900</v>
      </c>
    </row>
    <row r="20" spans="1:4">
      <c r="A20" s="33"/>
      <c r="B20" s="27" t="s">
        <v>41</v>
      </c>
      <c r="C20" s="28">
        <v>11720225</v>
      </c>
    </row>
    <row r="21" spans="1:4">
      <c r="A21" s="33"/>
      <c r="B21" s="27" t="s">
        <v>48</v>
      </c>
      <c r="C21" s="28">
        <v>7348550</v>
      </c>
    </row>
    <row r="22" spans="1:4">
      <c r="A22" s="33"/>
      <c r="B22" s="27" t="s">
        <v>56</v>
      </c>
      <c r="C22" s="28">
        <v>12275945</v>
      </c>
    </row>
    <row r="23" spans="1:4">
      <c r="A23" s="33"/>
      <c r="B23" s="27" t="s">
        <v>68</v>
      </c>
      <c r="C23" s="28">
        <v>12333750</v>
      </c>
    </row>
    <row r="24" spans="1:4" ht="17.100000000000001" customHeight="1">
      <c r="A24" s="33"/>
      <c r="B24" s="27" t="s">
        <v>23</v>
      </c>
      <c r="C24" s="28">
        <v>103000</v>
      </c>
    </row>
    <row r="25" spans="1:4" ht="17.100000000000001" customHeight="1">
      <c r="A25" s="33"/>
      <c r="B25" s="27" t="s">
        <v>26</v>
      </c>
      <c r="C25" s="28">
        <v>15950000</v>
      </c>
    </row>
    <row r="26" spans="1:4" ht="17.100000000000001" customHeight="1">
      <c r="A26" s="33"/>
      <c r="B26" s="27" t="s">
        <v>35</v>
      </c>
      <c r="C26" s="28">
        <v>23522400</v>
      </c>
    </row>
    <row r="27" spans="1:4" ht="17.100000000000001" customHeight="1">
      <c r="A27" s="33"/>
      <c r="B27" s="27" t="s">
        <v>42</v>
      </c>
      <c r="C27" s="28">
        <v>4620000</v>
      </c>
    </row>
    <row r="28" spans="1:4" ht="17.100000000000001" customHeight="1">
      <c r="A28" s="33"/>
      <c r="B28" s="27" t="s">
        <v>57</v>
      </c>
      <c r="C28" s="28">
        <v>3454000</v>
      </c>
    </row>
    <row r="29" spans="1:4" ht="17.100000000000001" customHeight="1">
      <c r="A29" s="33"/>
      <c r="B29" s="27" t="s">
        <v>69</v>
      </c>
      <c r="C29" s="28">
        <v>660000</v>
      </c>
    </row>
    <row r="30" spans="1:4" ht="17.100000000000001" customHeight="1">
      <c r="A30" s="33"/>
      <c r="B30" s="27" t="s">
        <v>60</v>
      </c>
      <c r="C30" s="28">
        <v>5108400</v>
      </c>
    </row>
    <row r="31" spans="1:4" ht="17.100000000000001" customHeight="1">
      <c r="A31" s="33"/>
      <c r="B31" s="27" t="s">
        <v>70</v>
      </c>
      <c r="C31" s="28">
        <v>3415500</v>
      </c>
    </row>
    <row r="32" spans="1:4" ht="17.100000000000001" customHeight="1">
      <c r="A32" s="33"/>
      <c r="B32" s="27" t="s">
        <v>73</v>
      </c>
      <c r="C32" s="28">
        <v>820105</v>
      </c>
    </row>
    <row r="33" spans="1:3" ht="17.100000000000001" customHeight="1">
      <c r="A33" s="33"/>
      <c r="B33" s="27" t="s">
        <v>74</v>
      </c>
      <c r="C33" s="28">
        <v>1353000</v>
      </c>
    </row>
    <row r="34" spans="1:3" ht="17.100000000000001" customHeight="1">
      <c r="A34" s="33"/>
      <c r="B34" s="27" t="s">
        <v>75</v>
      </c>
      <c r="C34" s="28">
        <v>93500</v>
      </c>
    </row>
    <row r="35" spans="1:3" ht="17.100000000000001" customHeight="1">
      <c r="A35" s="33"/>
      <c r="B35" s="27" t="s">
        <v>76</v>
      </c>
      <c r="C35" s="28">
        <v>4294950</v>
      </c>
    </row>
    <row r="36" spans="1:3" ht="17.100000000000001" customHeight="1">
      <c r="A36" s="33"/>
      <c r="B36" s="27" t="s">
        <v>59</v>
      </c>
      <c r="C36" s="28">
        <v>6788724</v>
      </c>
    </row>
    <row r="37" spans="1:3" ht="17.100000000000001" customHeight="1">
      <c r="A37" s="33"/>
      <c r="B37" s="27" t="s">
        <v>71</v>
      </c>
      <c r="C37" s="28">
        <v>911020</v>
      </c>
    </row>
    <row r="38" spans="1:3" ht="18" customHeight="1">
      <c r="A38" s="33"/>
      <c r="B38" s="29" t="s">
        <v>15</v>
      </c>
      <c r="C38" s="30">
        <v>127600</v>
      </c>
    </row>
    <row r="39" spans="1:3" ht="17.100000000000001" customHeight="1">
      <c r="A39" s="33"/>
      <c r="B39" s="10" t="s">
        <v>43</v>
      </c>
      <c r="C39" s="11">
        <v>5208500</v>
      </c>
    </row>
    <row r="40" spans="1:3" ht="17.100000000000001" customHeight="1">
      <c r="A40" s="33"/>
      <c r="B40" s="10" t="s">
        <v>49</v>
      </c>
      <c r="C40" s="11">
        <v>898700</v>
      </c>
    </row>
    <row r="41" spans="1:3" ht="17.100000000000001" customHeight="1">
      <c r="A41" s="33"/>
      <c r="B41" s="10" t="s">
        <v>58</v>
      </c>
      <c r="C41" s="11">
        <v>2991604</v>
      </c>
    </row>
    <row r="42" spans="1:3" ht="17.100000000000001" customHeight="1">
      <c r="A42" s="33"/>
      <c r="B42" s="10" t="s">
        <v>14</v>
      </c>
      <c r="C42" s="11">
        <v>3019500</v>
      </c>
    </row>
    <row r="43" spans="1:3" ht="18" customHeight="1">
      <c r="A43" s="33"/>
      <c r="B43" s="10" t="s">
        <v>17</v>
      </c>
      <c r="C43" s="11">
        <v>3019500</v>
      </c>
    </row>
    <row r="44" spans="1:3">
      <c r="A44" s="33"/>
      <c r="B44" s="10" t="s">
        <v>27</v>
      </c>
      <c r="C44" s="11">
        <v>1842500</v>
      </c>
    </row>
    <row r="45" spans="1:3">
      <c r="A45" s="33"/>
      <c r="B45" s="10" t="s">
        <v>44</v>
      </c>
      <c r="C45" s="11">
        <v>2843500</v>
      </c>
    </row>
    <row r="46" spans="1:3">
      <c r="A46" s="33"/>
      <c r="B46" s="10" t="s">
        <v>50</v>
      </c>
      <c r="C46" s="11">
        <v>3789500</v>
      </c>
    </row>
    <row r="47" spans="1:3">
      <c r="A47" s="33"/>
      <c r="B47" s="10" t="s">
        <v>72</v>
      </c>
      <c r="C47" s="11">
        <v>1677500</v>
      </c>
    </row>
    <row r="48" spans="1:3" ht="18" customHeight="1">
      <c r="A48" s="33"/>
      <c r="B48" s="8" t="s">
        <v>16</v>
      </c>
      <c r="C48" s="9">
        <v>46143439</v>
      </c>
    </row>
    <row r="49" spans="1:4" ht="18" customHeight="1">
      <c r="A49" s="33"/>
      <c r="B49" s="8" t="s">
        <v>19</v>
      </c>
      <c r="C49" s="9">
        <v>24760023</v>
      </c>
    </row>
    <row r="50" spans="1:4" ht="18" customHeight="1">
      <c r="A50" s="33"/>
      <c r="B50" s="8" t="s">
        <v>20</v>
      </c>
      <c r="C50" s="9">
        <v>29961378</v>
      </c>
    </row>
    <row r="51" spans="1:4" ht="18" customHeight="1">
      <c r="A51" s="33"/>
      <c r="B51" s="8" t="s">
        <v>22</v>
      </c>
      <c r="C51" s="9">
        <v>36800829</v>
      </c>
    </row>
    <row r="52" spans="1:4" ht="18" customHeight="1">
      <c r="A52" s="33"/>
      <c r="B52" s="8" t="s">
        <v>25</v>
      </c>
      <c r="C52" s="9">
        <v>15083487</v>
      </c>
    </row>
    <row r="53" spans="1:4" ht="18" customHeight="1">
      <c r="A53" s="33"/>
      <c r="B53" s="8" t="s">
        <v>34</v>
      </c>
      <c r="C53" s="9">
        <v>6640723</v>
      </c>
    </row>
    <row r="54" spans="1:4">
      <c r="A54" s="33"/>
      <c r="B54" s="10" t="s">
        <v>21</v>
      </c>
      <c r="C54" s="11">
        <v>2571000</v>
      </c>
    </row>
    <row r="55" spans="1:4">
      <c r="A55" s="33"/>
      <c r="B55" s="10" t="s">
        <v>24</v>
      </c>
      <c r="C55" s="11">
        <v>429000</v>
      </c>
    </row>
    <row r="56" spans="1:4">
      <c r="A56" s="33"/>
      <c r="B56" s="10" t="s">
        <v>11</v>
      </c>
      <c r="C56" s="11">
        <v>6402000</v>
      </c>
    </row>
    <row r="57" spans="1:4">
      <c r="A57" s="33"/>
      <c r="B57" s="10" t="s">
        <v>12</v>
      </c>
      <c r="C57" s="11">
        <v>1584000</v>
      </c>
    </row>
    <row r="58" spans="1:4" ht="17.100000000000001" customHeight="1">
      <c r="A58" s="33"/>
      <c r="B58" s="10" t="s">
        <v>6</v>
      </c>
      <c r="C58" s="11">
        <v>13958900</v>
      </c>
    </row>
    <row r="59" spans="1:4" ht="17.100000000000001" customHeight="1">
      <c r="A59" s="33"/>
      <c r="B59" s="10" t="s">
        <v>7</v>
      </c>
      <c r="C59" s="11">
        <v>22826100</v>
      </c>
    </row>
    <row r="60" spans="1:4" ht="17.45" customHeight="1">
      <c r="A60" s="33"/>
      <c r="B60" s="10" t="s">
        <v>13</v>
      </c>
      <c r="C60" s="11">
        <v>9519400</v>
      </c>
    </row>
    <row r="61" spans="1:4" ht="17.100000000000001" customHeight="1">
      <c r="A61" s="33"/>
      <c r="B61" s="10" t="s">
        <v>8</v>
      </c>
      <c r="C61" s="11">
        <v>19377600</v>
      </c>
    </row>
    <row r="62" spans="1:4" ht="17.100000000000001" customHeight="1">
      <c r="A62" s="33"/>
      <c r="B62" s="10" t="s">
        <v>9</v>
      </c>
      <c r="C62" s="11">
        <v>2694000</v>
      </c>
      <c r="D62" s="4"/>
    </row>
    <row r="63" spans="1:4" ht="17.100000000000001" customHeight="1">
      <c r="A63" s="33"/>
      <c r="B63" s="10" t="s">
        <v>10</v>
      </c>
      <c r="C63" s="11">
        <v>407000</v>
      </c>
      <c r="D63" s="4"/>
    </row>
    <row r="64" spans="1:4">
      <c r="A64" s="31" t="s">
        <v>5</v>
      </c>
      <c r="B64" s="32"/>
      <c r="C64" s="5">
        <f>SUM(C16:C63)</f>
        <v>575790167</v>
      </c>
      <c r="D64" s="4"/>
    </row>
    <row r="65" spans="2:3">
      <c r="C65" s="4"/>
    </row>
    <row r="66" spans="2:3" ht="16.5" customHeight="1">
      <c r="C66" s="4"/>
    </row>
    <row r="67" spans="2:3" ht="16.5" customHeight="1">
      <c r="C67" s="4"/>
    </row>
    <row r="68" spans="2:3" ht="16.5" customHeight="1">
      <c r="C68" s="4"/>
    </row>
    <row r="70" spans="2:3" ht="16.5" customHeight="1">
      <c r="C70" s="4"/>
    </row>
    <row r="71" spans="2:3">
      <c r="B71" s="4"/>
    </row>
    <row r="72" spans="2:3" ht="16.5" customHeight="1">
      <c r="C72" s="4" t="e">
        <f>C64-GETPIVOTDATA("결제금액",'[2]입출금장부(요약)'!$A$3,"업체구분","매출업체")</f>
        <v>#REF!</v>
      </c>
    </row>
    <row r="73" spans="2:3" ht="16.5" customHeight="1"/>
    <row r="76" spans="2:3" ht="16.5" customHeight="1"/>
    <row r="78" spans="2:3" ht="16.5" customHeight="1"/>
    <row r="79" spans="2:3" ht="16.5" customHeight="1"/>
    <row r="80" spans="2:3" ht="16.5" customHeight="1"/>
    <row r="83" ht="16.5" customHeight="1"/>
    <row r="84" ht="16.5" customHeight="1"/>
    <row r="85" ht="16.5" customHeight="1"/>
    <row r="86" ht="16.5" customHeight="1"/>
    <row r="89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4" ht="16.5" customHeight="1"/>
    <row r="106" ht="16.5" customHeight="1"/>
  </sheetData>
  <mergeCells count="3">
    <mergeCell ref="A15:B15"/>
    <mergeCell ref="A64:B64"/>
    <mergeCell ref="A16:A63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5:I14"/>
  <sheetViews>
    <sheetView workbookViewId="0">
      <selection activeCell="M16" sqref="M16"/>
    </sheetView>
  </sheetViews>
  <sheetFormatPr defaultRowHeight="16.5"/>
  <cols>
    <col min="5" max="5" width="17" customWidth="1"/>
    <col min="6" max="6" width="13.25" bestFit="1" customWidth="1"/>
    <col min="8" max="8" width="14.375" customWidth="1"/>
    <col min="9" max="9" width="14.75" customWidth="1"/>
  </cols>
  <sheetData>
    <row r="5" spans="4:9">
      <c r="D5" s="34" t="s">
        <v>28</v>
      </c>
      <c r="E5" s="34"/>
      <c r="F5" s="34"/>
      <c r="G5" s="34"/>
      <c r="H5" s="34"/>
      <c r="I5" s="34"/>
    </row>
    <row r="6" spans="4:9">
      <c r="D6" s="21" t="s">
        <v>29</v>
      </c>
      <c r="E6" s="12"/>
      <c r="F6" s="18">
        <v>111014857</v>
      </c>
      <c r="G6" s="22" t="s">
        <v>32</v>
      </c>
      <c r="H6" s="12"/>
      <c r="I6" s="13"/>
    </row>
    <row r="7" spans="4:9">
      <c r="D7" s="21" t="s">
        <v>30</v>
      </c>
      <c r="E7" s="14"/>
      <c r="F7" s="18"/>
      <c r="G7" s="22" t="s">
        <v>33</v>
      </c>
      <c r="H7" s="14" t="s">
        <v>18</v>
      </c>
      <c r="I7" s="13">
        <v>-25525249</v>
      </c>
    </row>
    <row r="8" spans="4:9">
      <c r="D8" s="21"/>
      <c r="E8" s="14"/>
      <c r="F8" s="18"/>
      <c r="G8" s="22"/>
      <c r="H8" s="14" t="s">
        <v>36</v>
      </c>
      <c r="I8" s="13">
        <v>-20000000</v>
      </c>
    </row>
    <row r="9" spans="4:9">
      <c r="D9" s="21"/>
      <c r="E9" s="14"/>
      <c r="F9" s="18"/>
      <c r="G9" s="22"/>
      <c r="H9" s="25" t="s">
        <v>37</v>
      </c>
      <c r="I9" s="13">
        <v>-15635380</v>
      </c>
    </row>
    <row r="10" spans="4:9">
      <c r="D10" s="21"/>
      <c r="E10" s="15"/>
      <c r="F10" s="19"/>
      <c r="G10" s="22"/>
      <c r="H10" s="14" t="s">
        <v>38</v>
      </c>
      <c r="I10" s="13">
        <v>-27271390</v>
      </c>
    </row>
    <row r="11" spans="4:9">
      <c r="D11" s="21"/>
      <c r="E11" s="15"/>
      <c r="F11" s="19"/>
      <c r="G11" s="22"/>
      <c r="H11" s="14"/>
      <c r="I11" s="13"/>
    </row>
    <row r="12" spans="4:9">
      <c r="D12" s="21"/>
      <c r="E12" s="24"/>
      <c r="F12" s="18"/>
      <c r="G12" s="22"/>
      <c r="H12" s="14"/>
      <c r="I12" s="13"/>
    </row>
    <row r="13" spans="4:9">
      <c r="D13" s="21" t="s">
        <v>31</v>
      </c>
      <c r="E13" s="16"/>
      <c r="F13" s="20">
        <f>SUM(F6:F12)</f>
        <v>111014857</v>
      </c>
      <c r="G13" s="22" t="s">
        <v>31</v>
      </c>
      <c r="H13" s="16"/>
      <c r="I13" s="17">
        <f>SUM(I6:I12)</f>
        <v>-88432019</v>
      </c>
    </row>
    <row r="14" spans="4:9">
      <c r="D14" s="35" t="s">
        <v>29</v>
      </c>
      <c r="E14" s="35"/>
      <c r="F14" s="35"/>
      <c r="G14" s="35"/>
      <c r="H14" s="35"/>
      <c r="I14" s="23">
        <f>F13+I13</f>
        <v>22582838</v>
      </c>
    </row>
  </sheetData>
  <mergeCells count="2">
    <mergeCell ref="D5:I5"/>
    <mergeCell ref="D14:H1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입출금장부(요약)</vt:lpstr>
      <vt:lpstr>지급계획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2026-06-01T00:41:32Z</dcterms:modified>
</cp:coreProperties>
</file>